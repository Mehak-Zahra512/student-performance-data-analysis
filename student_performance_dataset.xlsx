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6fe3939c718586/Documents/"/>
    </mc:Choice>
  </mc:AlternateContent>
  <xr:revisionPtr revIDLastSave="0" documentId="8_{1A63F4CC-B47D-44C3-B035-623845277BCE}" xr6:coauthVersionLast="47" xr6:coauthVersionMax="47" xr10:uidLastSave="{00000000-0000-0000-0000-000000000000}"/>
  <bookViews>
    <workbookView xWindow="-110" yWindow="-110" windowWidth="19420" windowHeight="10300" xr2:uid="{5799378E-AC8C-457B-BFFD-E4A492DC9C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5" i="1" l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2" i="1"/>
  <c r="H2" i="1" s="1"/>
  <c r="B78" i="1" l="1"/>
  <c r="B80" i="1"/>
  <c r="B79" i="1"/>
  <c r="I66" i="1"/>
  <c r="I58" i="1"/>
  <c r="I50" i="1"/>
  <c r="I42" i="1"/>
  <c r="I34" i="1"/>
  <c r="I26" i="1"/>
  <c r="I18" i="1"/>
  <c r="I10" i="1"/>
  <c r="I65" i="1"/>
  <c r="I57" i="1"/>
  <c r="I49" i="1"/>
  <c r="I41" i="1"/>
  <c r="I33" i="1"/>
  <c r="I25" i="1"/>
  <c r="I17" i="1"/>
  <c r="I7" i="1"/>
  <c r="I11" i="1"/>
  <c r="I64" i="1"/>
  <c r="I56" i="1"/>
  <c r="I48" i="1"/>
  <c r="I40" i="1"/>
  <c r="I32" i="1"/>
  <c r="I24" i="1"/>
  <c r="I16" i="1"/>
  <c r="I6" i="1"/>
  <c r="I63" i="1"/>
  <c r="I47" i="1"/>
  <c r="I39" i="1"/>
  <c r="I31" i="1"/>
  <c r="I23" i="1"/>
  <c r="I15" i="1"/>
  <c r="I5" i="1"/>
  <c r="I71" i="1"/>
  <c r="I55" i="1"/>
  <c r="I9" i="1"/>
  <c r="I70" i="1"/>
  <c r="I62" i="1"/>
  <c r="I54" i="1"/>
  <c r="I46" i="1"/>
  <c r="I38" i="1"/>
  <c r="I30" i="1"/>
  <c r="I22" i="1"/>
  <c r="I14" i="1"/>
  <c r="I68" i="1"/>
  <c r="I52" i="1"/>
  <c r="I4" i="1"/>
  <c r="I8" i="1"/>
  <c r="I69" i="1"/>
  <c r="I61" i="1"/>
  <c r="I53" i="1"/>
  <c r="I45" i="1"/>
  <c r="I37" i="1"/>
  <c r="I29" i="1"/>
  <c r="I21" i="1"/>
  <c r="I13" i="1"/>
  <c r="I67" i="1"/>
  <c r="I59" i="1"/>
  <c r="I51" i="1"/>
  <c r="I43" i="1"/>
  <c r="I35" i="1"/>
  <c r="I27" i="1"/>
  <c r="I19" i="1"/>
  <c r="I3" i="1"/>
  <c r="I60" i="1"/>
  <c r="I44" i="1"/>
  <c r="I36" i="1"/>
  <c r="I28" i="1"/>
  <c r="I20" i="1"/>
  <c r="I12" i="1"/>
  <c r="I2" i="1"/>
  <c r="B77" i="1" l="1"/>
  <c r="B76" i="1"/>
</calcChain>
</file>

<file path=xl/sharedStrings.xml><?xml version="1.0" encoding="utf-8"?>
<sst xmlns="http://schemas.openxmlformats.org/spreadsheetml/2006/main" count="29" uniqueCount="29">
  <si>
    <t>Students_ID</t>
  </si>
  <si>
    <t>Study_Hours_per_Day</t>
  </si>
  <si>
    <t>Attendance %</t>
  </si>
  <si>
    <t>Sleep_Hours</t>
  </si>
  <si>
    <t>Social_Media_Hours</t>
  </si>
  <si>
    <t>Previous_CGPA</t>
  </si>
  <si>
    <t>Risk_Level</t>
  </si>
  <si>
    <t>Final_Result</t>
  </si>
  <si>
    <t>Risk_score</t>
  </si>
  <si>
    <t>Summary Statistics:</t>
  </si>
  <si>
    <t>Metric</t>
  </si>
  <si>
    <t>Value</t>
  </si>
  <si>
    <t>Explanation</t>
  </si>
  <si>
    <t>Total Students</t>
  </si>
  <si>
    <t>Pass</t>
  </si>
  <si>
    <t>Fail</t>
  </si>
  <si>
    <t>Medium Risk</t>
  </si>
  <si>
    <t>Low Risk</t>
  </si>
  <si>
    <t>High Risk</t>
  </si>
  <si>
    <t>Average R.S</t>
  </si>
  <si>
    <t>AVERAGE(G2:G71)</t>
  </si>
  <si>
    <t>Count all students</t>
  </si>
  <si>
    <t>Count students who passed</t>
  </si>
  <si>
    <t>Count students who failed</t>
  </si>
  <si>
    <t>Count students with Low Risk</t>
  </si>
  <si>
    <t>Count students with Medium Risk</t>
  </si>
  <si>
    <t>Count students with High Risk</t>
  </si>
  <si>
    <t>Calculates avaerage Risk Score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</si>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</sst>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D53273-AD0A-4168-BE4C-A9E9BA9D3901}" name="Table1" displayName="Table1" ref="A1:I72" totalsRowCount="1" headerRowDxfId="4">
  <autoFilter ref="A1:I71" xr:uid="{AFD53273-AD0A-4168-BE4C-A9E9BA9D3901}"/>
  <tableColumns count="9">
    <tableColumn id="1" xr3:uid="{C9F8B5C9-9342-4661-A9DD-F9F079A729D1}" name="Students_ID"/>
    <tableColumn id="2" xr3:uid="{DC8C7844-F56A-45FB-A1E8-E64CFE2E2FD2}" name="Study_Hours_per_Day"/>
    <tableColumn id="3" xr3:uid="{2C885BD1-2F29-4CFF-829B-4EA413D1F97E}" name="Attendance %"/>
    <tableColumn id="4" xr3:uid="{C8E8A5C5-4C53-4429-8B4B-913F6F6D024E}" name="Sleep_Hours"/>
    <tableColumn id="5" xr3:uid="{4FA6F0DE-B420-4123-A217-CA86888EA74D}" name="Social_Media_Hours"/>
    <tableColumn id="6" xr3:uid="{CA2F4673-078B-4F38-A69C-322A38613706}" name="Previous_CGPA"/>
    <tableColumn id="7" xr3:uid="{A4FFC00A-2751-4DEA-89B1-AC0D6AF58BD1}" name="Risk_score">
      <calculatedColumnFormula>(7-B2)*2 + (95-C2)*2 + (8-D2)*1 + E2*1.5 + (3.5-F2)*3 + RAND() / 10</calculatedColumnFormula>
    </tableColumn>
    <tableColumn id="8" xr3:uid="{E3C6D806-978A-4FAC-84E2-EDC68C0B0818}" name="Risk_Level">
      <calculatedColumnFormula>IF(G2&lt;=30,"Low",IF(G2&lt;=60,"Medium","High"))</calculatedColumnFormula>
    </tableColumn>
    <tableColumn id="9" xr3:uid="{84D6ECA3-26C6-47C6-8E7B-6D15D8467F29}" name="Final_Result">
      <calculatedColumnFormula>IF(OR(H2="HIGH",F2&lt;2),"FAIL","PASS")</calculatedColumnFormula>
    </tableColumn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8C6502-5500-45E8-9DF4-C678A2974673}" name="Table5" displayName="Table5" ref="A74:D81" totalsRowShown="0" headerRowDxfId="0">
  <autoFilter ref="A74:D81" xr:uid="{C88C6502-5500-45E8-9DF4-C678A2974673}"/>
  <tableColumns count="4">
    <tableColumn id="1" xr3:uid="{BA896888-9824-462B-B082-3A6B57886F80}" name="Metric"/>
    <tableColumn id="2" xr3:uid="{F21A4B8B-71EF-49D6-9B27-C90F29903529}" name="Value"/>
    <tableColumn id="3" xr3:uid="{4B1F9B47-0F7A-4766-8EBD-DA7C194B8AC0}" name="Explanation"/>
    <tableColumn id="4" xr3:uid="{279DF6E8-A650-455A-A5F9-2CE2F0322F83}" name="Column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5CABF-6850-4480-B252-DC0F0769A678}">
  <dimension ref="A1:I81"/>
  <sheetViews>
    <sheetView tabSelected="1" workbookViewId="0">
      <selection activeCell="H76" sqref="H76"/>
    </sheetView>
  </sheetViews>
  <sheetFormatPr defaultRowHeight="14.5" x14ac:dyDescent="0.35"/>
  <cols>
    <col min="1" max="1" width="13.08984375" customWidth="1"/>
    <col min="2" max="2" width="21.54296875" customWidth="1"/>
    <col min="3" max="3" width="14.453125" customWidth="1"/>
    <col min="4" max="4" width="14.81640625" customWidth="1"/>
    <col min="5" max="5" width="19.81640625" customWidth="1"/>
    <col min="6" max="6" width="15.6328125" customWidth="1"/>
    <col min="7" max="7" width="14.81640625" customWidth="1"/>
    <col min="8" max="8" width="15.81640625" customWidth="1"/>
    <col min="9" max="9" width="19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6</v>
      </c>
      <c r="I1" s="2" t="s">
        <v>7</v>
      </c>
    </row>
    <row r="2" spans="1:9" x14ac:dyDescent="0.35">
      <c r="A2">
        <v>1</v>
      </c>
      <c r="B2">
        <v>6</v>
      </c>
      <c r="C2">
        <v>85</v>
      </c>
      <c r="D2">
        <v>7</v>
      </c>
      <c r="E2">
        <v>3</v>
      </c>
      <c r="F2">
        <v>3.2</v>
      </c>
      <c r="G2">
        <f ca="1">(7-B2)*2 + (95-C2)*2 + (8-D2)*1 + E2*1.5 + (3.5-F2)*3 + RAND() / 10</f>
        <v>28.429593417889741</v>
      </c>
      <c r="H2" t="str">
        <f ca="1">IF(G2&lt;=30,"Low",IF(G2&lt;=60,"Medium","High"))</f>
        <v>Low</v>
      </c>
      <c r="I2" t="str">
        <f ca="1">IF(OR(H2="HIGH",F2&lt;2),"FAIL","PASS")</f>
        <v>PASS</v>
      </c>
    </row>
    <row r="3" spans="1:9" x14ac:dyDescent="0.35">
      <c r="A3">
        <v>2</v>
      </c>
      <c r="B3">
        <v>4</v>
      </c>
      <c r="C3">
        <v>72</v>
      </c>
      <c r="D3">
        <v>6</v>
      </c>
      <c r="E3">
        <v>5</v>
      </c>
      <c r="F3">
        <v>2.8</v>
      </c>
      <c r="G3">
        <f t="shared" ref="G3:G66" ca="1" si="0">(7-B3)*2 + (95-C3)*2 + (8-D3)*1 + E3*1.5 + (3.5-F3)*3 + RAND() / 10</f>
        <v>63.632887263324854</v>
      </c>
      <c r="H3" t="str">
        <f t="shared" ref="H3:H66" ca="1" si="1">IF(G3&lt;=30,"Low",IF(G3&lt;=60,"Medium","High"))</f>
        <v>High</v>
      </c>
      <c r="I3" t="str">
        <f t="shared" ref="I3:I66" ca="1" si="2">IF(OR(H3="HIGH",F3&lt;2),"FAIL","PASS")</f>
        <v>FAIL</v>
      </c>
    </row>
    <row r="4" spans="1:9" x14ac:dyDescent="0.35">
      <c r="A4">
        <v>3</v>
      </c>
      <c r="B4">
        <v>5</v>
      </c>
      <c r="C4">
        <v>90</v>
      </c>
      <c r="D4">
        <v>8</v>
      </c>
      <c r="E4">
        <v>2</v>
      </c>
      <c r="F4">
        <v>3.5</v>
      </c>
      <c r="G4">
        <f t="shared" ca="1" si="0"/>
        <v>17.037415583060277</v>
      </c>
      <c r="H4" t="str">
        <f t="shared" ca="1" si="1"/>
        <v>Low</v>
      </c>
      <c r="I4" t="str">
        <f t="shared" ca="1" si="2"/>
        <v>PASS</v>
      </c>
    </row>
    <row r="5" spans="1:9" x14ac:dyDescent="0.35">
      <c r="A5">
        <v>4</v>
      </c>
      <c r="B5">
        <v>3</v>
      </c>
      <c r="C5">
        <v>65</v>
      </c>
      <c r="D5">
        <v>5</v>
      </c>
      <c r="E5">
        <v>6</v>
      </c>
      <c r="F5">
        <v>2.4</v>
      </c>
      <c r="G5">
        <f t="shared" ca="1" si="0"/>
        <v>83.372744980957606</v>
      </c>
      <c r="H5" t="str">
        <f t="shared" ca="1" si="1"/>
        <v>High</v>
      </c>
      <c r="I5" t="str">
        <f t="shared" ca="1" si="2"/>
        <v>FAIL</v>
      </c>
    </row>
    <row r="6" spans="1:9" x14ac:dyDescent="0.35">
      <c r="A6">
        <v>5</v>
      </c>
      <c r="B6">
        <v>7</v>
      </c>
      <c r="C6">
        <v>95</v>
      </c>
      <c r="D6">
        <v>8</v>
      </c>
      <c r="E6">
        <v>1</v>
      </c>
      <c r="F6">
        <v>3.8</v>
      </c>
      <c r="G6">
        <f t="shared" ca="1" si="0"/>
        <v>0.67768165118157664</v>
      </c>
      <c r="H6" t="str">
        <f t="shared" ca="1" si="1"/>
        <v>Low</v>
      </c>
      <c r="I6" t="str">
        <f t="shared" ca="1" si="2"/>
        <v>PASS</v>
      </c>
    </row>
    <row r="7" spans="1:9" x14ac:dyDescent="0.35">
      <c r="A7">
        <v>6</v>
      </c>
      <c r="B7">
        <v>2</v>
      </c>
      <c r="C7">
        <v>60</v>
      </c>
      <c r="D7">
        <v>6</v>
      </c>
      <c r="E7">
        <v>7</v>
      </c>
      <c r="F7">
        <v>2.1</v>
      </c>
      <c r="G7">
        <f t="shared" ca="1" si="0"/>
        <v>96.755855337842107</v>
      </c>
      <c r="H7" t="str">
        <f t="shared" ca="1" si="1"/>
        <v>High</v>
      </c>
      <c r="I7" t="str">
        <f t="shared" ca="1" si="2"/>
        <v>FAIL</v>
      </c>
    </row>
    <row r="8" spans="1:9" x14ac:dyDescent="0.35">
      <c r="A8">
        <v>7</v>
      </c>
      <c r="B8">
        <v>5</v>
      </c>
      <c r="C8">
        <v>80</v>
      </c>
      <c r="D8">
        <v>7</v>
      </c>
      <c r="E8">
        <v>4</v>
      </c>
      <c r="F8">
        <v>3</v>
      </c>
      <c r="G8">
        <f t="shared" ca="1" si="0"/>
        <v>42.595596705320382</v>
      </c>
      <c r="H8" t="str">
        <f t="shared" ca="1" si="1"/>
        <v>Medium</v>
      </c>
      <c r="I8" t="str">
        <f t="shared" ca="1" si="2"/>
        <v>PASS</v>
      </c>
    </row>
    <row r="9" spans="1:9" x14ac:dyDescent="0.35">
      <c r="A9">
        <v>8</v>
      </c>
      <c r="B9">
        <v>6</v>
      </c>
      <c r="C9">
        <v>88</v>
      </c>
      <c r="D9">
        <v>7</v>
      </c>
      <c r="E9">
        <v>3</v>
      </c>
      <c r="F9">
        <v>3.3</v>
      </c>
      <c r="G9">
        <f t="shared" ca="1" si="0"/>
        <v>22.145158523861536</v>
      </c>
      <c r="H9" t="str">
        <f t="shared" ca="1" si="1"/>
        <v>Low</v>
      </c>
      <c r="I9" t="str">
        <f t="shared" ca="1" si="2"/>
        <v>PASS</v>
      </c>
    </row>
    <row r="10" spans="1:9" x14ac:dyDescent="0.35">
      <c r="A10">
        <v>9</v>
      </c>
      <c r="B10">
        <v>4</v>
      </c>
      <c r="C10">
        <v>70</v>
      </c>
      <c r="D10">
        <v>6</v>
      </c>
      <c r="E10">
        <v>5</v>
      </c>
      <c r="F10">
        <v>2.7</v>
      </c>
      <c r="G10">
        <f t="shared" ca="1" si="0"/>
        <v>67.990297058989611</v>
      </c>
      <c r="H10" t="str">
        <f t="shared" ca="1" si="1"/>
        <v>High</v>
      </c>
      <c r="I10" t="str">
        <f t="shared" ca="1" si="2"/>
        <v>FAIL</v>
      </c>
    </row>
    <row r="11" spans="1:9" x14ac:dyDescent="0.35">
      <c r="A11">
        <v>10</v>
      </c>
      <c r="B11">
        <v>3</v>
      </c>
      <c r="C11">
        <v>66</v>
      </c>
      <c r="D11">
        <v>5</v>
      </c>
      <c r="E11">
        <v>6</v>
      </c>
      <c r="F11">
        <v>2.5</v>
      </c>
      <c r="G11">
        <f t="shared" ca="1" si="0"/>
        <v>81.051159346448387</v>
      </c>
      <c r="H11" t="str">
        <f t="shared" ca="1" si="1"/>
        <v>High</v>
      </c>
      <c r="I11" t="str">
        <f t="shared" ca="1" si="2"/>
        <v>FAIL</v>
      </c>
    </row>
    <row r="12" spans="1:9" x14ac:dyDescent="0.35">
      <c r="A12">
        <v>11</v>
      </c>
      <c r="B12">
        <v>7</v>
      </c>
      <c r="C12">
        <v>92</v>
      </c>
      <c r="D12">
        <v>8</v>
      </c>
      <c r="E12">
        <v>2</v>
      </c>
      <c r="F12">
        <v>3.6</v>
      </c>
      <c r="G12">
        <f t="shared" ca="1" si="0"/>
        <v>8.7983296847639654</v>
      </c>
      <c r="H12" t="str">
        <f t="shared" ca="1" si="1"/>
        <v>Low</v>
      </c>
      <c r="I12" t="str">
        <f t="shared" ca="1" si="2"/>
        <v>PASS</v>
      </c>
    </row>
    <row r="13" spans="1:9" x14ac:dyDescent="0.35">
      <c r="A13">
        <v>12</v>
      </c>
      <c r="B13">
        <v>5</v>
      </c>
      <c r="C13">
        <v>78</v>
      </c>
      <c r="D13">
        <v>7</v>
      </c>
      <c r="E13">
        <v>4</v>
      </c>
      <c r="F13">
        <v>3</v>
      </c>
      <c r="G13">
        <f t="shared" ca="1" si="0"/>
        <v>46.517297544089111</v>
      </c>
      <c r="H13" t="str">
        <f t="shared" ca="1" si="1"/>
        <v>Medium</v>
      </c>
      <c r="I13" t="str">
        <f t="shared" ca="1" si="2"/>
        <v>PASS</v>
      </c>
    </row>
    <row r="14" spans="1:9" x14ac:dyDescent="0.35">
      <c r="A14">
        <v>13</v>
      </c>
      <c r="B14">
        <v>6</v>
      </c>
      <c r="C14">
        <v>85</v>
      </c>
      <c r="D14">
        <v>7</v>
      </c>
      <c r="E14">
        <v>3</v>
      </c>
      <c r="F14">
        <v>3.2</v>
      </c>
      <c r="G14">
        <f t="shared" ca="1" si="0"/>
        <v>28.438676303205565</v>
      </c>
      <c r="H14" t="str">
        <f t="shared" ca="1" si="1"/>
        <v>Low</v>
      </c>
      <c r="I14" t="str">
        <f t="shared" ca="1" si="2"/>
        <v>PASS</v>
      </c>
    </row>
    <row r="15" spans="1:9" x14ac:dyDescent="0.35">
      <c r="A15">
        <v>14</v>
      </c>
      <c r="B15">
        <v>2</v>
      </c>
      <c r="C15">
        <v>60</v>
      </c>
      <c r="D15">
        <v>6</v>
      </c>
      <c r="E15">
        <v>8</v>
      </c>
      <c r="F15">
        <v>2</v>
      </c>
      <c r="G15">
        <f t="shared" ca="1" si="0"/>
        <v>98.520914125452705</v>
      </c>
      <c r="H15" t="str">
        <f t="shared" ca="1" si="1"/>
        <v>High</v>
      </c>
      <c r="I15" t="str">
        <f t="shared" ca="1" si="2"/>
        <v>FAIL</v>
      </c>
    </row>
    <row r="16" spans="1:9" x14ac:dyDescent="0.35">
      <c r="A16">
        <v>15</v>
      </c>
      <c r="B16">
        <v>5</v>
      </c>
      <c r="C16">
        <v>74</v>
      </c>
      <c r="D16">
        <v>6</v>
      </c>
      <c r="E16">
        <v>5</v>
      </c>
      <c r="F16">
        <v>2.9</v>
      </c>
      <c r="G16">
        <f t="shared" ca="1" si="0"/>
        <v>57.386385954099786</v>
      </c>
      <c r="H16" t="str">
        <f t="shared" ca="1" si="1"/>
        <v>Medium</v>
      </c>
      <c r="I16" t="str">
        <f t="shared" ca="1" si="2"/>
        <v>PASS</v>
      </c>
    </row>
    <row r="17" spans="1:9" x14ac:dyDescent="0.35">
      <c r="A17">
        <v>16</v>
      </c>
      <c r="B17">
        <v>5</v>
      </c>
      <c r="C17">
        <v>80</v>
      </c>
      <c r="D17">
        <v>7</v>
      </c>
      <c r="E17">
        <v>4</v>
      </c>
      <c r="F17">
        <v>3.1</v>
      </c>
      <c r="G17">
        <f t="shared" ca="1" si="0"/>
        <v>42.273100442628959</v>
      </c>
      <c r="H17" t="str">
        <f t="shared" ca="1" si="1"/>
        <v>Medium</v>
      </c>
      <c r="I17" t="str">
        <f t="shared" ca="1" si="2"/>
        <v>PASS</v>
      </c>
    </row>
    <row r="18" spans="1:9" x14ac:dyDescent="0.35">
      <c r="A18">
        <v>17</v>
      </c>
      <c r="B18">
        <v>6</v>
      </c>
      <c r="C18">
        <v>87</v>
      </c>
      <c r="D18">
        <v>7</v>
      </c>
      <c r="E18">
        <v>3</v>
      </c>
      <c r="F18">
        <v>3.3</v>
      </c>
      <c r="G18">
        <f t="shared" ca="1" si="0"/>
        <v>24.118207127229397</v>
      </c>
      <c r="H18" t="str">
        <f t="shared" ca="1" si="1"/>
        <v>Low</v>
      </c>
      <c r="I18" t="str">
        <f t="shared" ca="1" si="2"/>
        <v>PASS</v>
      </c>
    </row>
    <row r="19" spans="1:9" x14ac:dyDescent="0.35">
      <c r="A19">
        <v>18</v>
      </c>
      <c r="B19">
        <v>3</v>
      </c>
      <c r="C19">
        <v>65</v>
      </c>
      <c r="D19">
        <v>5</v>
      </c>
      <c r="E19">
        <v>6</v>
      </c>
      <c r="F19">
        <v>2.2999999999999998</v>
      </c>
      <c r="G19">
        <f t="shared" ca="1" si="0"/>
        <v>83.691090140962771</v>
      </c>
      <c r="H19" t="str">
        <f t="shared" ca="1" si="1"/>
        <v>High</v>
      </c>
      <c r="I19" t="str">
        <f t="shared" ca="1" si="2"/>
        <v>FAIL</v>
      </c>
    </row>
    <row r="20" spans="1:9" x14ac:dyDescent="0.35">
      <c r="A20">
        <v>19</v>
      </c>
      <c r="B20">
        <v>7</v>
      </c>
      <c r="C20">
        <v>93</v>
      </c>
      <c r="D20">
        <v>8</v>
      </c>
      <c r="E20">
        <v>2</v>
      </c>
      <c r="F20">
        <v>3.7</v>
      </c>
      <c r="G20">
        <f t="shared" ca="1" si="0"/>
        <v>6.4955544805211893</v>
      </c>
      <c r="H20" t="str">
        <f t="shared" ca="1" si="1"/>
        <v>Low</v>
      </c>
      <c r="I20" t="str">
        <f t="shared" ca="1" si="2"/>
        <v>PASS</v>
      </c>
    </row>
    <row r="21" spans="1:9" x14ac:dyDescent="0.35">
      <c r="A21">
        <v>20</v>
      </c>
      <c r="B21">
        <v>5</v>
      </c>
      <c r="C21">
        <v>79</v>
      </c>
      <c r="D21">
        <v>7</v>
      </c>
      <c r="E21">
        <v>4</v>
      </c>
      <c r="F21">
        <v>3.1</v>
      </c>
      <c r="G21">
        <f t="shared" ca="1" si="0"/>
        <v>44.269781298281735</v>
      </c>
      <c r="H21" t="str">
        <f t="shared" ca="1" si="1"/>
        <v>Medium</v>
      </c>
      <c r="I21" t="str">
        <f t="shared" ca="1" si="2"/>
        <v>PASS</v>
      </c>
    </row>
    <row r="22" spans="1:9" x14ac:dyDescent="0.35">
      <c r="A22">
        <v>21</v>
      </c>
      <c r="B22">
        <v>4</v>
      </c>
      <c r="C22">
        <v>75</v>
      </c>
      <c r="D22">
        <v>6</v>
      </c>
      <c r="E22">
        <v>3</v>
      </c>
      <c r="F22">
        <v>3</v>
      </c>
      <c r="G22">
        <f t="shared" ca="1" si="0"/>
        <v>54.087704185431164</v>
      </c>
      <c r="H22" t="str">
        <f t="shared" ca="1" si="1"/>
        <v>Medium</v>
      </c>
      <c r="I22" t="str">
        <f t="shared" ca="1" si="2"/>
        <v>PASS</v>
      </c>
    </row>
    <row r="23" spans="1:9" x14ac:dyDescent="0.35">
      <c r="A23">
        <v>22</v>
      </c>
      <c r="B23">
        <v>5</v>
      </c>
      <c r="C23">
        <v>82</v>
      </c>
      <c r="D23">
        <v>7</v>
      </c>
      <c r="E23">
        <v>2</v>
      </c>
      <c r="F23">
        <v>3.2</v>
      </c>
      <c r="G23">
        <f t="shared" ca="1" si="0"/>
        <v>34.983728741693099</v>
      </c>
      <c r="H23" t="str">
        <f t="shared" ca="1" si="1"/>
        <v>Medium</v>
      </c>
      <c r="I23" t="str">
        <f t="shared" ca="1" si="2"/>
        <v>PASS</v>
      </c>
    </row>
    <row r="24" spans="1:9" x14ac:dyDescent="0.35">
      <c r="A24">
        <v>23</v>
      </c>
      <c r="B24">
        <v>6</v>
      </c>
      <c r="C24">
        <v>90</v>
      </c>
      <c r="D24">
        <v>7</v>
      </c>
      <c r="E24">
        <v>5</v>
      </c>
      <c r="F24">
        <v>3.5</v>
      </c>
      <c r="G24">
        <f t="shared" ca="1" si="0"/>
        <v>20.543661476108493</v>
      </c>
      <c r="H24" t="str">
        <f t="shared" ca="1" si="1"/>
        <v>Low</v>
      </c>
      <c r="I24" t="str">
        <f t="shared" ca="1" si="2"/>
        <v>PASS</v>
      </c>
    </row>
    <row r="25" spans="1:9" x14ac:dyDescent="0.35">
      <c r="A25">
        <v>24</v>
      </c>
      <c r="B25">
        <v>3</v>
      </c>
      <c r="C25">
        <v>65</v>
      </c>
      <c r="D25">
        <v>5</v>
      </c>
      <c r="E25">
        <v>4</v>
      </c>
      <c r="F25">
        <v>2.6</v>
      </c>
      <c r="G25">
        <f t="shared" ca="1" si="0"/>
        <v>79.718362859863319</v>
      </c>
      <c r="H25" t="str">
        <f t="shared" ca="1" si="1"/>
        <v>High</v>
      </c>
      <c r="I25" t="str">
        <f t="shared" ca="1" si="2"/>
        <v>FAIL</v>
      </c>
    </row>
    <row r="26" spans="1:9" x14ac:dyDescent="0.35">
      <c r="A26">
        <v>25</v>
      </c>
      <c r="B26">
        <v>5</v>
      </c>
      <c r="C26">
        <v>78</v>
      </c>
      <c r="D26">
        <v>6</v>
      </c>
      <c r="E26">
        <v>4</v>
      </c>
      <c r="F26">
        <v>3.1</v>
      </c>
      <c r="G26">
        <f t="shared" ca="1" si="0"/>
        <v>47.288780565831068</v>
      </c>
      <c r="H26" t="str">
        <f t="shared" ca="1" si="1"/>
        <v>Medium</v>
      </c>
      <c r="I26" t="str">
        <f t="shared" ca="1" si="2"/>
        <v>PASS</v>
      </c>
    </row>
    <row r="27" spans="1:9" x14ac:dyDescent="0.35">
      <c r="A27">
        <v>26</v>
      </c>
      <c r="B27">
        <v>4</v>
      </c>
      <c r="C27">
        <v>70</v>
      </c>
      <c r="D27">
        <v>6</v>
      </c>
      <c r="E27">
        <v>3</v>
      </c>
      <c r="F27">
        <v>2.9</v>
      </c>
      <c r="G27">
        <f t="shared" ca="1" si="0"/>
        <v>64.362181663120893</v>
      </c>
      <c r="H27" t="str">
        <f t="shared" ca="1" si="1"/>
        <v>High</v>
      </c>
      <c r="I27" t="str">
        <f t="shared" ca="1" si="2"/>
        <v>FAIL</v>
      </c>
    </row>
    <row r="28" spans="1:9" x14ac:dyDescent="0.35">
      <c r="A28">
        <v>27</v>
      </c>
      <c r="B28">
        <v>6</v>
      </c>
      <c r="C28">
        <v>88</v>
      </c>
      <c r="D28">
        <v>7</v>
      </c>
      <c r="E28">
        <v>6</v>
      </c>
      <c r="F28">
        <v>3.4</v>
      </c>
      <c r="G28">
        <f t="shared" ca="1" si="0"/>
        <v>26.37275251313562</v>
      </c>
      <c r="H28" t="str">
        <f t="shared" ca="1" si="1"/>
        <v>Low</v>
      </c>
      <c r="I28" t="str">
        <f t="shared" ca="1" si="2"/>
        <v>PASS</v>
      </c>
    </row>
    <row r="29" spans="1:9" x14ac:dyDescent="0.35">
      <c r="A29">
        <v>28</v>
      </c>
      <c r="B29">
        <v>2</v>
      </c>
      <c r="C29">
        <v>60</v>
      </c>
      <c r="D29">
        <v>5</v>
      </c>
      <c r="E29">
        <v>3</v>
      </c>
      <c r="F29">
        <v>2.2999999999999998</v>
      </c>
      <c r="G29">
        <f t="shared" ca="1" si="0"/>
        <v>91.171325084842564</v>
      </c>
      <c r="H29" t="str">
        <f t="shared" ca="1" si="1"/>
        <v>High</v>
      </c>
      <c r="I29" t="str">
        <f t="shared" ca="1" si="2"/>
        <v>FAIL</v>
      </c>
    </row>
    <row r="30" spans="1:9" x14ac:dyDescent="0.35">
      <c r="A30">
        <v>29</v>
      </c>
      <c r="B30">
        <v>5</v>
      </c>
      <c r="C30">
        <v>80</v>
      </c>
      <c r="D30">
        <v>6</v>
      </c>
      <c r="E30">
        <v>5</v>
      </c>
      <c r="F30">
        <v>3</v>
      </c>
      <c r="G30">
        <f t="shared" ca="1" si="0"/>
        <v>45.022950712132406</v>
      </c>
      <c r="H30" t="str">
        <f t="shared" ca="1" si="1"/>
        <v>Medium</v>
      </c>
      <c r="I30" t="str">
        <f t="shared" ca="1" si="2"/>
        <v>PASS</v>
      </c>
    </row>
    <row r="31" spans="1:9" x14ac:dyDescent="0.35">
      <c r="A31">
        <v>30</v>
      </c>
      <c r="B31">
        <v>3</v>
      </c>
      <c r="C31">
        <v>68</v>
      </c>
      <c r="D31">
        <v>5</v>
      </c>
      <c r="E31">
        <v>4</v>
      </c>
      <c r="F31">
        <v>2.7</v>
      </c>
      <c r="G31">
        <f t="shared" ca="1" si="0"/>
        <v>73.429272662756375</v>
      </c>
      <c r="H31" t="str">
        <f t="shared" ca="1" si="1"/>
        <v>High</v>
      </c>
      <c r="I31" t="str">
        <f t="shared" ca="1" si="2"/>
        <v>FAIL</v>
      </c>
    </row>
    <row r="32" spans="1:9" x14ac:dyDescent="0.35">
      <c r="A32">
        <v>31</v>
      </c>
      <c r="B32">
        <v>4</v>
      </c>
      <c r="C32">
        <v>75</v>
      </c>
      <c r="D32">
        <v>6</v>
      </c>
      <c r="E32">
        <v>3</v>
      </c>
      <c r="F32">
        <v>3</v>
      </c>
      <c r="G32">
        <f t="shared" ca="1" si="0"/>
        <v>54.073893535060641</v>
      </c>
      <c r="H32" t="str">
        <f t="shared" ca="1" si="1"/>
        <v>Medium</v>
      </c>
      <c r="I32" t="str">
        <f t="shared" ca="1" si="2"/>
        <v>PASS</v>
      </c>
    </row>
    <row r="33" spans="1:9" x14ac:dyDescent="0.35">
      <c r="A33">
        <v>32</v>
      </c>
      <c r="B33">
        <v>6</v>
      </c>
      <c r="C33">
        <v>85</v>
      </c>
      <c r="D33">
        <v>7</v>
      </c>
      <c r="E33">
        <v>4</v>
      </c>
      <c r="F33">
        <v>3.3</v>
      </c>
      <c r="G33">
        <f t="shared" ca="1" si="0"/>
        <v>29.679435024981249</v>
      </c>
      <c r="H33" t="str">
        <f t="shared" ca="1" si="1"/>
        <v>Low</v>
      </c>
      <c r="I33" t="str">
        <f t="shared" ca="1" si="2"/>
        <v>PASS</v>
      </c>
    </row>
    <row r="34" spans="1:9" x14ac:dyDescent="0.35">
      <c r="A34">
        <v>33</v>
      </c>
      <c r="B34">
        <v>5</v>
      </c>
      <c r="C34">
        <v>80</v>
      </c>
      <c r="D34">
        <v>6</v>
      </c>
      <c r="E34">
        <v>6</v>
      </c>
      <c r="F34">
        <v>3.1</v>
      </c>
      <c r="G34">
        <f t="shared" ca="1" si="0"/>
        <v>46.260852058401824</v>
      </c>
      <c r="H34" t="str">
        <f t="shared" ca="1" si="1"/>
        <v>Medium</v>
      </c>
      <c r="I34" t="str">
        <f t="shared" ca="1" si="2"/>
        <v>PASS</v>
      </c>
    </row>
    <row r="35" spans="1:9" x14ac:dyDescent="0.35">
      <c r="A35">
        <v>34</v>
      </c>
      <c r="B35">
        <v>3</v>
      </c>
      <c r="C35">
        <v>62</v>
      </c>
      <c r="D35">
        <v>5</v>
      </c>
      <c r="E35">
        <v>4</v>
      </c>
      <c r="F35">
        <v>2.5</v>
      </c>
      <c r="G35">
        <f t="shared" ca="1" si="0"/>
        <v>86.097686972457637</v>
      </c>
      <c r="H35" t="str">
        <f t="shared" ca="1" si="1"/>
        <v>High</v>
      </c>
      <c r="I35" t="str">
        <f t="shared" ca="1" si="2"/>
        <v>FAIL</v>
      </c>
    </row>
    <row r="36" spans="1:9" x14ac:dyDescent="0.35">
      <c r="A36">
        <v>35</v>
      </c>
      <c r="B36">
        <v>4</v>
      </c>
      <c r="C36">
        <v>72</v>
      </c>
      <c r="D36">
        <v>6</v>
      </c>
      <c r="E36">
        <v>2</v>
      </c>
      <c r="F36">
        <v>2.9</v>
      </c>
      <c r="G36">
        <f t="shared" ca="1" si="0"/>
        <v>58.833733035691488</v>
      </c>
      <c r="H36" t="str">
        <f t="shared" ca="1" si="1"/>
        <v>Medium</v>
      </c>
      <c r="I36" t="str">
        <f t="shared" ca="1" si="2"/>
        <v>PASS</v>
      </c>
    </row>
    <row r="37" spans="1:9" x14ac:dyDescent="0.35">
      <c r="A37">
        <v>36</v>
      </c>
      <c r="B37">
        <v>6</v>
      </c>
      <c r="C37">
        <v>88</v>
      </c>
      <c r="D37">
        <v>7</v>
      </c>
      <c r="E37">
        <v>4</v>
      </c>
      <c r="F37">
        <v>3.5</v>
      </c>
      <c r="G37">
        <f t="shared" ca="1" si="0"/>
        <v>23.059143094920454</v>
      </c>
      <c r="H37" t="str">
        <f t="shared" ca="1" si="1"/>
        <v>Low</v>
      </c>
      <c r="I37" t="str">
        <f t="shared" ca="1" si="2"/>
        <v>PASS</v>
      </c>
    </row>
    <row r="38" spans="1:9" x14ac:dyDescent="0.35">
      <c r="A38">
        <v>37</v>
      </c>
      <c r="B38">
        <v>5</v>
      </c>
      <c r="C38">
        <v>79</v>
      </c>
      <c r="D38">
        <v>6</v>
      </c>
      <c r="E38">
        <v>5</v>
      </c>
      <c r="F38">
        <v>3.1</v>
      </c>
      <c r="G38">
        <f t="shared" ca="1" si="0"/>
        <v>46.725207346306057</v>
      </c>
      <c r="H38" t="str">
        <f t="shared" ca="1" si="1"/>
        <v>Medium</v>
      </c>
      <c r="I38" t="str">
        <f t="shared" ca="1" si="2"/>
        <v>PASS</v>
      </c>
    </row>
    <row r="39" spans="1:9" x14ac:dyDescent="0.35">
      <c r="A39">
        <v>38</v>
      </c>
      <c r="B39">
        <v>3</v>
      </c>
      <c r="C39">
        <v>65</v>
      </c>
      <c r="D39">
        <v>5</v>
      </c>
      <c r="E39">
        <v>4</v>
      </c>
      <c r="F39">
        <v>2.6</v>
      </c>
      <c r="G39">
        <f t="shared" ca="1" si="0"/>
        <v>79.750738136446188</v>
      </c>
      <c r="H39" t="str">
        <f t="shared" ca="1" si="1"/>
        <v>High</v>
      </c>
      <c r="I39" t="str">
        <f t="shared" ca="1" si="2"/>
        <v>FAIL</v>
      </c>
    </row>
    <row r="40" spans="1:9" x14ac:dyDescent="0.35">
      <c r="A40">
        <v>39</v>
      </c>
      <c r="B40">
        <v>4</v>
      </c>
      <c r="C40">
        <v>70</v>
      </c>
      <c r="D40">
        <v>6</v>
      </c>
      <c r="E40">
        <v>3</v>
      </c>
      <c r="F40">
        <v>2.8</v>
      </c>
      <c r="G40">
        <f t="shared" ca="1" si="0"/>
        <v>64.644273552376433</v>
      </c>
      <c r="H40" t="str">
        <f t="shared" ca="1" si="1"/>
        <v>High</v>
      </c>
      <c r="I40" t="str">
        <f t="shared" ca="1" si="2"/>
        <v>FAIL</v>
      </c>
    </row>
    <row r="41" spans="1:9" x14ac:dyDescent="0.35">
      <c r="A41">
        <v>40</v>
      </c>
      <c r="B41">
        <v>5</v>
      </c>
      <c r="C41">
        <v>82</v>
      </c>
      <c r="D41">
        <v>7</v>
      </c>
      <c r="E41">
        <v>3</v>
      </c>
      <c r="F41">
        <v>3.2</v>
      </c>
      <c r="G41">
        <f t="shared" ca="1" si="0"/>
        <v>36.456629537589507</v>
      </c>
      <c r="H41" t="str">
        <f t="shared" ca="1" si="1"/>
        <v>Medium</v>
      </c>
      <c r="I41" t="str">
        <f t="shared" ca="1" si="2"/>
        <v>PASS</v>
      </c>
    </row>
    <row r="42" spans="1:9" x14ac:dyDescent="0.35">
      <c r="A42">
        <v>41</v>
      </c>
      <c r="B42">
        <v>6</v>
      </c>
      <c r="C42">
        <v>85</v>
      </c>
      <c r="D42">
        <v>7</v>
      </c>
      <c r="E42">
        <v>6</v>
      </c>
      <c r="F42">
        <v>3.3</v>
      </c>
      <c r="G42">
        <f t="shared" ca="1" si="0"/>
        <v>32.664096939623477</v>
      </c>
      <c r="H42" t="str">
        <f t="shared" ca="1" si="1"/>
        <v>Medium</v>
      </c>
      <c r="I42" t="str">
        <f t="shared" ca="1" si="2"/>
        <v>PASS</v>
      </c>
    </row>
    <row r="43" spans="1:9" x14ac:dyDescent="0.35">
      <c r="A43">
        <v>42</v>
      </c>
      <c r="B43">
        <v>3</v>
      </c>
      <c r="C43">
        <v>60</v>
      </c>
      <c r="D43">
        <v>5</v>
      </c>
      <c r="E43">
        <v>4</v>
      </c>
      <c r="F43">
        <v>2.4</v>
      </c>
      <c r="G43">
        <f t="shared" ca="1" si="0"/>
        <v>90.33915056790002</v>
      </c>
      <c r="H43" t="str">
        <f t="shared" ca="1" si="1"/>
        <v>High</v>
      </c>
      <c r="I43" t="str">
        <f t="shared" ca="1" si="2"/>
        <v>FAIL</v>
      </c>
    </row>
    <row r="44" spans="1:9" x14ac:dyDescent="0.35">
      <c r="A44">
        <v>43</v>
      </c>
      <c r="B44">
        <v>4</v>
      </c>
      <c r="C44">
        <v>74</v>
      </c>
      <c r="D44">
        <v>6</v>
      </c>
      <c r="E44">
        <v>3</v>
      </c>
      <c r="F44">
        <v>2.9</v>
      </c>
      <c r="G44">
        <f t="shared" ca="1" si="0"/>
        <v>56.361557773575015</v>
      </c>
      <c r="H44" t="str">
        <f t="shared" ca="1" si="1"/>
        <v>Medium</v>
      </c>
      <c r="I44" t="str">
        <f t="shared" ca="1" si="2"/>
        <v>PASS</v>
      </c>
    </row>
    <row r="45" spans="1:9" x14ac:dyDescent="0.35">
      <c r="A45">
        <v>44</v>
      </c>
      <c r="B45">
        <v>5</v>
      </c>
      <c r="C45">
        <v>81</v>
      </c>
      <c r="D45">
        <v>7</v>
      </c>
      <c r="E45">
        <v>3</v>
      </c>
      <c r="F45">
        <v>3.2</v>
      </c>
      <c r="G45">
        <f t="shared" ca="1" si="0"/>
        <v>38.490853116831104</v>
      </c>
      <c r="H45" t="str">
        <f t="shared" ca="1" si="1"/>
        <v>Medium</v>
      </c>
      <c r="I45" t="str">
        <f t="shared" ca="1" si="2"/>
        <v>PASS</v>
      </c>
    </row>
    <row r="46" spans="1:9" x14ac:dyDescent="0.35">
      <c r="A46">
        <v>45</v>
      </c>
      <c r="B46">
        <v>6</v>
      </c>
      <c r="C46">
        <v>87</v>
      </c>
      <c r="D46">
        <v>7</v>
      </c>
      <c r="E46">
        <v>2</v>
      </c>
      <c r="F46">
        <v>3.4</v>
      </c>
      <c r="G46">
        <f t="shared" ca="1" si="0"/>
        <v>22.382770683099572</v>
      </c>
      <c r="H46" t="str">
        <f t="shared" ca="1" si="1"/>
        <v>Low</v>
      </c>
      <c r="I46" t="str">
        <f t="shared" ca="1" si="2"/>
        <v>PASS</v>
      </c>
    </row>
    <row r="47" spans="1:9" x14ac:dyDescent="0.35">
      <c r="A47">
        <v>46</v>
      </c>
      <c r="B47">
        <v>4</v>
      </c>
      <c r="C47">
        <v>70</v>
      </c>
      <c r="D47">
        <v>6</v>
      </c>
      <c r="E47">
        <v>4</v>
      </c>
      <c r="F47">
        <v>2.9</v>
      </c>
      <c r="G47">
        <f t="shared" ca="1" si="0"/>
        <v>65.894350832128396</v>
      </c>
      <c r="H47" t="str">
        <f t="shared" ca="1" si="1"/>
        <v>High</v>
      </c>
      <c r="I47" t="str">
        <f t="shared" ca="1" si="2"/>
        <v>FAIL</v>
      </c>
    </row>
    <row r="48" spans="1:9" x14ac:dyDescent="0.35">
      <c r="A48">
        <v>47</v>
      </c>
      <c r="B48">
        <v>5</v>
      </c>
      <c r="C48">
        <v>80</v>
      </c>
      <c r="D48">
        <v>6</v>
      </c>
      <c r="E48">
        <v>3</v>
      </c>
      <c r="F48">
        <v>3.1</v>
      </c>
      <c r="G48">
        <f t="shared" ca="1" si="0"/>
        <v>41.726951984045328</v>
      </c>
      <c r="H48" t="str">
        <f t="shared" ca="1" si="1"/>
        <v>Medium</v>
      </c>
      <c r="I48" t="str">
        <f t="shared" ca="1" si="2"/>
        <v>PASS</v>
      </c>
    </row>
    <row r="49" spans="1:9" x14ac:dyDescent="0.35">
      <c r="A49">
        <v>48</v>
      </c>
      <c r="B49">
        <v>3</v>
      </c>
      <c r="C49">
        <v>65</v>
      </c>
      <c r="D49">
        <v>5</v>
      </c>
      <c r="E49">
        <v>5</v>
      </c>
      <c r="F49">
        <v>2.7</v>
      </c>
      <c r="G49">
        <f t="shared" ca="1" si="0"/>
        <v>80.974369109058202</v>
      </c>
      <c r="H49" t="str">
        <f t="shared" ca="1" si="1"/>
        <v>High</v>
      </c>
      <c r="I49" t="str">
        <f t="shared" ca="1" si="2"/>
        <v>FAIL</v>
      </c>
    </row>
    <row r="50" spans="1:9" x14ac:dyDescent="0.35">
      <c r="A50">
        <v>49</v>
      </c>
      <c r="B50">
        <v>6</v>
      </c>
      <c r="C50">
        <v>90</v>
      </c>
      <c r="D50">
        <v>7</v>
      </c>
      <c r="E50">
        <v>2</v>
      </c>
      <c r="F50">
        <v>3.5</v>
      </c>
      <c r="G50">
        <f t="shared" ca="1" si="0"/>
        <v>16.065822724909083</v>
      </c>
      <c r="H50" t="str">
        <f t="shared" ca="1" si="1"/>
        <v>Low</v>
      </c>
      <c r="I50" t="str">
        <f t="shared" ca="1" si="2"/>
        <v>PASS</v>
      </c>
    </row>
    <row r="51" spans="1:9" x14ac:dyDescent="0.35">
      <c r="A51">
        <v>50</v>
      </c>
      <c r="B51">
        <v>4</v>
      </c>
      <c r="C51">
        <v>78</v>
      </c>
      <c r="D51">
        <v>6</v>
      </c>
      <c r="E51">
        <v>4</v>
      </c>
      <c r="F51">
        <v>2.9</v>
      </c>
      <c r="G51">
        <f t="shared" ca="1" si="0"/>
        <v>49.895976122291415</v>
      </c>
      <c r="H51" t="str">
        <f t="shared" ca="1" si="1"/>
        <v>Medium</v>
      </c>
      <c r="I51" t="str">
        <f t="shared" ca="1" si="2"/>
        <v>PASS</v>
      </c>
    </row>
    <row r="52" spans="1:9" x14ac:dyDescent="0.35">
      <c r="A52">
        <v>51</v>
      </c>
      <c r="B52">
        <v>5</v>
      </c>
      <c r="C52">
        <v>72</v>
      </c>
      <c r="D52">
        <v>6</v>
      </c>
      <c r="E52">
        <v>4</v>
      </c>
      <c r="F52">
        <v>3.1</v>
      </c>
      <c r="G52">
        <f t="shared" ca="1" si="0"/>
        <v>59.296690330131405</v>
      </c>
      <c r="H52" t="str">
        <f t="shared" ca="1" si="1"/>
        <v>Medium</v>
      </c>
      <c r="I52" t="str">
        <f t="shared" ca="1" si="2"/>
        <v>PASS</v>
      </c>
    </row>
    <row r="53" spans="1:9" x14ac:dyDescent="0.35">
      <c r="A53">
        <v>52</v>
      </c>
      <c r="B53">
        <v>6</v>
      </c>
      <c r="C53">
        <v>80</v>
      </c>
      <c r="D53">
        <v>7</v>
      </c>
      <c r="E53">
        <v>3</v>
      </c>
      <c r="F53">
        <v>3.1</v>
      </c>
      <c r="G53">
        <f t="shared" ca="1" si="0"/>
        <v>38.772630684278475</v>
      </c>
      <c r="H53" t="str">
        <f t="shared" ca="1" si="1"/>
        <v>Medium</v>
      </c>
      <c r="I53" t="str">
        <f t="shared" ca="1" si="2"/>
        <v>PASS</v>
      </c>
    </row>
    <row r="54" spans="1:9" x14ac:dyDescent="0.35">
      <c r="A54">
        <v>53</v>
      </c>
      <c r="B54">
        <v>3</v>
      </c>
      <c r="C54">
        <v>88</v>
      </c>
      <c r="D54">
        <v>7</v>
      </c>
      <c r="E54">
        <v>2</v>
      </c>
      <c r="F54">
        <v>3.4</v>
      </c>
      <c r="G54">
        <f t="shared" ca="1" si="0"/>
        <v>26.393516718086882</v>
      </c>
      <c r="H54" t="str">
        <f t="shared" ca="1" si="1"/>
        <v>Low</v>
      </c>
      <c r="I54" t="str">
        <f t="shared" ca="1" si="2"/>
        <v>PASS</v>
      </c>
    </row>
    <row r="55" spans="1:9" x14ac:dyDescent="0.35">
      <c r="A55">
        <v>54</v>
      </c>
      <c r="B55">
        <v>5</v>
      </c>
      <c r="C55">
        <v>64</v>
      </c>
      <c r="D55">
        <v>5</v>
      </c>
      <c r="E55">
        <v>5</v>
      </c>
      <c r="F55">
        <v>3.5</v>
      </c>
      <c r="G55">
        <f t="shared" ca="1" si="0"/>
        <v>76.59566864371989</v>
      </c>
      <c r="H55" t="str">
        <f t="shared" ca="1" si="1"/>
        <v>High</v>
      </c>
      <c r="I55" t="str">
        <f t="shared" ca="1" si="2"/>
        <v>FAIL</v>
      </c>
    </row>
    <row r="56" spans="1:9" x14ac:dyDescent="0.35">
      <c r="A56">
        <v>55</v>
      </c>
      <c r="B56">
        <v>4</v>
      </c>
      <c r="C56">
        <v>78</v>
      </c>
      <c r="D56">
        <v>6</v>
      </c>
      <c r="E56">
        <v>4</v>
      </c>
      <c r="F56">
        <v>3</v>
      </c>
      <c r="G56">
        <f t="shared" ca="1" si="0"/>
        <v>49.546155470787376</v>
      </c>
      <c r="H56" t="str">
        <f t="shared" ca="1" si="1"/>
        <v>Medium</v>
      </c>
      <c r="I56" t="str">
        <f t="shared" ca="1" si="2"/>
        <v>PASS</v>
      </c>
    </row>
    <row r="57" spans="1:9" x14ac:dyDescent="0.35">
      <c r="A57">
        <v>56</v>
      </c>
      <c r="B57">
        <v>6</v>
      </c>
      <c r="C57">
        <v>70</v>
      </c>
      <c r="D57">
        <v>6</v>
      </c>
      <c r="E57">
        <v>4</v>
      </c>
      <c r="F57">
        <v>2.8</v>
      </c>
      <c r="G57">
        <f t="shared" ca="1" si="0"/>
        <v>62.17546813203866</v>
      </c>
      <c r="H57" t="str">
        <f t="shared" ca="1" si="1"/>
        <v>High</v>
      </c>
      <c r="I57" t="str">
        <f t="shared" ca="1" si="2"/>
        <v>FAIL</v>
      </c>
    </row>
    <row r="58" spans="1:9" x14ac:dyDescent="0.35">
      <c r="A58">
        <v>57</v>
      </c>
      <c r="B58">
        <v>2</v>
      </c>
      <c r="C58">
        <v>85</v>
      </c>
      <c r="D58">
        <v>7</v>
      </c>
      <c r="E58">
        <v>3</v>
      </c>
      <c r="F58">
        <v>3.3</v>
      </c>
      <c r="G58">
        <f t="shared" ca="1" si="0"/>
        <v>36.114017505490843</v>
      </c>
      <c r="H58" t="str">
        <f t="shared" ca="1" si="1"/>
        <v>Medium</v>
      </c>
      <c r="I58" t="str">
        <f t="shared" ca="1" si="2"/>
        <v>PASS</v>
      </c>
    </row>
    <row r="59" spans="1:9" x14ac:dyDescent="0.35">
      <c r="A59">
        <v>58</v>
      </c>
      <c r="B59">
        <v>5</v>
      </c>
      <c r="C59">
        <v>60</v>
      </c>
      <c r="D59">
        <v>5</v>
      </c>
      <c r="E59">
        <v>6</v>
      </c>
      <c r="F59">
        <v>2.2000000000000002</v>
      </c>
      <c r="G59">
        <f t="shared" ca="1" si="0"/>
        <v>89.911893452438463</v>
      </c>
      <c r="H59" t="str">
        <f t="shared" ca="1" si="1"/>
        <v>High</v>
      </c>
      <c r="I59" t="str">
        <f t="shared" ca="1" si="2"/>
        <v>FAIL</v>
      </c>
    </row>
    <row r="60" spans="1:9" x14ac:dyDescent="0.35">
      <c r="A60">
        <v>59</v>
      </c>
      <c r="B60">
        <v>3</v>
      </c>
      <c r="C60">
        <v>81</v>
      </c>
      <c r="D60">
        <v>6</v>
      </c>
      <c r="E60">
        <v>3</v>
      </c>
      <c r="F60">
        <v>3.1</v>
      </c>
      <c r="G60">
        <f t="shared" ca="1" si="0"/>
        <v>43.772635138945581</v>
      </c>
      <c r="H60" t="str">
        <f t="shared" ca="1" si="1"/>
        <v>Medium</v>
      </c>
      <c r="I60" t="str">
        <f t="shared" ca="1" si="2"/>
        <v>PASS</v>
      </c>
    </row>
    <row r="61" spans="1:9" x14ac:dyDescent="0.35">
      <c r="A61">
        <v>60</v>
      </c>
      <c r="B61">
        <v>4</v>
      </c>
      <c r="C61">
        <v>66</v>
      </c>
      <c r="D61">
        <v>5</v>
      </c>
      <c r="E61">
        <v>5</v>
      </c>
      <c r="F61">
        <v>2.6</v>
      </c>
      <c r="G61">
        <f t="shared" ca="1" si="0"/>
        <v>77.285555769903709</v>
      </c>
      <c r="H61" t="str">
        <f t="shared" ca="1" si="1"/>
        <v>High</v>
      </c>
      <c r="I61" t="str">
        <f t="shared" ca="1" si="2"/>
        <v>FAIL</v>
      </c>
    </row>
    <row r="62" spans="1:9" x14ac:dyDescent="0.35">
      <c r="A62">
        <v>61</v>
      </c>
      <c r="B62">
        <v>6</v>
      </c>
      <c r="C62">
        <v>73</v>
      </c>
      <c r="D62">
        <v>6</v>
      </c>
      <c r="E62">
        <v>4</v>
      </c>
      <c r="F62">
        <v>2.9</v>
      </c>
      <c r="G62">
        <f t="shared" ca="1" si="0"/>
        <v>55.809284615062857</v>
      </c>
      <c r="H62" t="str">
        <f t="shared" ca="1" si="1"/>
        <v>Medium</v>
      </c>
      <c r="I62" t="str">
        <f t="shared" ca="1" si="2"/>
        <v>PASS</v>
      </c>
    </row>
    <row r="63" spans="1:9" x14ac:dyDescent="0.35">
      <c r="A63">
        <v>62</v>
      </c>
      <c r="B63">
        <v>5</v>
      </c>
      <c r="C63">
        <v>87</v>
      </c>
      <c r="D63">
        <v>7</v>
      </c>
      <c r="E63">
        <v>3</v>
      </c>
      <c r="F63">
        <v>3.4</v>
      </c>
      <c r="G63">
        <f t="shared" ca="1" si="0"/>
        <v>25.842613611612492</v>
      </c>
      <c r="H63" t="str">
        <f t="shared" ca="1" si="1"/>
        <v>Low</v>
      </c>
      <c r="I63" t="str">
        <f t="shared" ca="1" si="2"/>
        <v>PASS</v>
      </c>
    </row>
    <row r="64" spans="1:9" x14ac:dyDescent="0.35">
      <c r="A64">
        <v>63</v>
      </c>
      <c r="B64">
        <v>5</v>
      </c>
      <c r="C64">
        <v>79</v>
      </c>
      <c r="D64">
        <v>6</v>
      </c>
      <c r="E64">
        <v>4</v>
      </c>
      <c r="F64">
        <v>3.1</v>
      </c>
      <c r="G64">
        <f t="shared" ca="1" si="0"/>
        <v>45.247957661858813</v>
      </c>
      <c r="H64" t="str">
        <f t="shared" ca="1" si="1"/>
        <v>Medium</v>
      </c>
      <c r="I64" t="str">
        <f t="shared" ca="1" si="2"/>
        <v>PASS</v>
      </c>
    </row>
    <row r="65" spans="1:9" x14ac:dyDescent="0.35">
      <c r="A65">
        <v>64</v>
      </c>
      <c r="B65">
        <v>3</v>
      </c>
      <c r="C65">
        <v>63</v>
      </c>
      <c r="D65">
        <v>5</v>
      </c>
      <c r="E65">
        <v>5</v>
      </c>
      <c r="F65">
        <v>2.4</v>
      </c>
      <c r="G65">
        <f t="shared" ca="1" si="0"/>
        <v>85.895307030742316</v>
      </c>
      <c r="H65" t="str">
        <f t="shared" ca="1" si="1"/>
        <v>High</v>
      </c>
      <c r="I65" t="str">
        <f t="shared" ca="1" si="2"/>
        <v>FAIL</v>
      </c>
    </row>
    <row r="66" spans="1:9" x14ac:dyDescent="0.35">
      <c r="A66">
        <v>65</v>
      </c>
      <c r="B66">
        <v>4</v>
      </c>
      <c r="C66">
        <v>71</v>
      </c>
      <c r="D66">
        <v>6</v>
      </c>
      <c r="E66">
        <v>4</v>
      </c>
      <c r="F66">
        <v>2.9</v>
      </c>
      <c r="G66">
        <f t="shared" ca="1" si="0"/>
        <v>63.848165897481692</v>
      </c>
      <c r="H66" t="str">
        <f t="shared" ca="1" si="1"/>
        <v>High</v>
      </c>
      <c r="I66" t="str">
        <f t="shared" ca="1" si="2"/>
        <v>FAIL</v>
      </c>
    </row>
    <row r="67" spans="1:9" x14ac:dyDescent="0.35">
      <c r="A67">
        <v>66</v>
      </c>
      <c r="B67">
        <v>5</v>
      </c>
      <c r="C67">
        <v>82</v>
      </c>
      <c r="D67">
        <v>7</v>
      </c>
      <c r="E67">
        <v>3</v>
      </c>
      <c r="F67">
        <v>3.2</v>
      </c>
      <c r="G67">
        <f t="shared" ref="G67:G71" ca="1" si="3">(7-B67)*2 + (95-C67)*2 + (8-D67)*1 + E67*1.5 + (3.5-F67)*3 + RAND() / 10</f>
        <v>36.45055047606435</v>
      </c>
      <c r="H67" t="str">
        <f t="shared" ref="H67:H71" ca="1" si="4">IF(G67&lt;=30,"Low",IF(G67&lt;=60,"Medium","High"))</f>
        <v>Medium</v>
      </c>
      <c r="I67" t="str">
        <f t="shared" ref="I67:I71" ca="1" si="5">IF(OR(H67="HIGH",F67&lt;2),"FAIL","PASS")</f>
        <v>PASS</v>
      </c>
    </row>
    <row r="68" spans="1:9" x14ac:dyDescent="0.35">
      <c r="A68">
        <v>67</v>
      </c>
      <c r="B68">
        <v>6</v>
      </c>
      <c r="C68">
        <v>86</v>
      </c>
      <c r="D68">
        <v>7</v>
      </c>
      <c r="E68">
        <v>2</v>
      </c>
      <c r="F68">
        <v>3.4</v>
      </c>
      <c r="G68">
        <f t="shared" ca="1" si="3"/>
        <v>24.316040714574232</v>
      </c>
      <c r="H68" t="str">
        <f t="shared" ca="1" si="4"/>
        <v>Low</v>
      </c>
      <c r="I68" t="str">
        <f t="shared" ca="1" si="5"/>
        <v>PASS</v>
      </c>
    </row>
    <row r="69" spans="1:9" x14ac:dyDescent="0.35">
      <c r="A69">
        <v>68</v>
      </c>
      <c r="B69">
        <v>4</v>
      </c>
      <c r="C69">
        <v>70</v>
      </c>
      <c r="D69">
        <v>6</v>
      </c>
      <c r="E69">
        <v>3</v>
      </c>
      <c r="F69">
        <v>3.1</v>
      </c>
      <c r="G69">
        <f t="shared" ca="1" si="3"/>
        <v>63.720373622868934</v>
      </c>
      <c r="H69" t="str">
        <f t="shared" ca="1" si="4"/>
        <v>High</v>
      </c>
      <c r="I69" t="str">
        <f t="shared" ca="1" si="5"/>
        <v>FAIL</v>
      </c>
    </row>
    <row r="70" spans="1:9" x14ac:dyDescent="0.35">
      <c r="A70">
        <v>69</v>
      </c>
      <c r="B70">
        <v>5</v>
      </c>
      <c r="C70">
        <v>80</v>
      </c>
      <c r="D70">
        <v>6</v>
      </c>
      <c r="E70">
        <v>5</v>
      </c>
      <c r="F70">
        <v>2.7</v>
      </c>
      <c r="G70">
        <f t="shared" ca="1" si="3"/>
        <v>45.912518056537181</v>
      </c>
      <c r="H70" t="str">
        <f t="shared" ca="1" si="4"/>
        <v>Medium</v>
      </c>
      <c r="I70" t="str">
        <f t="shared" ca="1" si="5"/>
        <v>PASS</v>
      </c>
    </row>
    <row r="71" spans="1:9" x14ac:dyDescent="0.35">
      <c r="A71">
        <v>70</v>
      </c>
      <c r="B71">
        <v>3</v>
      </c>
      <c r="C71">
        <v>65</v>
      </c>
      <c r="D71">
        <v>5</v>
      </c>
      <c r="E71">
        <v>3</v>
      </c>
      <c r="F71">
        <v>3.2</v>
      </c>
      <c r="G71">
        <f t="shared" ca="1" si="3"/>
        <v>76.493464093325628</v>
      </c>
      <c r="H71" t="str">
        <f t="shared" ca="1" si="4"/>
        <v>High</v>
      </c>
      <c r="I71" t="str">
        <f t="shared" ca="1" si="5"/>
        <v>FAIL</v>
      </c>
    </row>
    <row r="73" spans="1:9" x14ac:dyDescent="0.35">
      <c r="A73" t="s">
        <v>9</v>
      </c>
    </row>
    <row r="74" spans="1:9" x14ac:dyDescent="0.35">
      <c r="A74" s="1" t="s">
        <v>10</v>
      </c>
      <c r="B74" s="1" t="s">
        <v>11</v>
      </c>
      <c r="C74" s="1" t="s">
        <v>12</v>
      </c>
      <c r="D74" t="s">
        <v>28</v>
      </c>
    </row>
    <row r="75" spans="1:9" x14ac:dyDescent="0.35">
      <c r="A75" t="s">
        <v>13</v>
      </c>
      <c r="B75">
        <f>COUNTA(A2:A71)</f>
        <v>70</v>
      </c>
      <c r="C75" t="s">
        <v>21</v>
      </c>
    </row>
    <row r="76" spans="1:9" x14ac:dyDescent="0.35">
      <c r="A76" t="s">
        <v>14</v>
      </c>
      <c r="B76">
        <f ca="1">COUNTIF(I2:I71,"Pass")</f>
        <v>45</v>
      </c>
      <c r="C76" t="s">
        <v>22</v>
      </c>
    </row>
    <row r="77" spans="1:9" x14ac:dyDescent="0.35">
      <c r="A77" t="s">
        <v>15</v>
      </c>
      <c r="B77">
        <f ca="1">COUNTIF(I2:I71,"Fail")</f>
        <v>25</v>
      </c>
      <c r="C77" t="s">
        <v>23</v>
      </c>
    </row>
    <row r="78" spans="1:9" x14ac:dyDescent="0.35">
      <c r="A78" t="s">
        <v>17</v>
      </c>
      <c r="B78">
        <f ca="1">COUNTIF(H2:H71,"Low")</f>
        <v>17</v>
      </c>
      <c r="C78" t="s">
        <v>24</v>
      </c>
    </row>
    <row r="79" spans="1:9" x14ac:dyDescent="0.35">
      <c r="A79" t="s">
        <v>16</v>
      </c>
      <c r="B79">
        <f ca="1">COUNTIF(H2:H71,"Medium")</f>
        <v>28</v>
      </c>
      <c r="C79" t="s">
        <v>25</v>
      </c>
    </row>
    <row r="80" spans="1:9" x14ac:dyDescent="0.35">
      <c r="A80" t="s">
        <v>18</v>
      </c>
      <c r="B80">
        <f ca="1">COUNTIF(H2:H71,"High")</f>
        <v>25</v>
      </c>
      <c r="C80" t="s">
        <v>26</v>
      </c>
    </row>
    <row r="81" spans="1:3" x14ac:dyDescent="0.35">
      <c r="A81" t="s">
        <v>19</v>
      </c>
      <c r="B81" t="s">
        <v>20</v>
      </c>
      <c r="C81" t="s">
        <v>27</v>
      </c>
    </row>
  </sheetData>
  <conditionalFormatting sqref="H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71">
    <cfRule type="containsText" dxfId="3" priority="1" operator="containsText" text="High">
      <formula>NOT(ISERROR(SEARCH("High",H2)))</formula>
    </cfRule>
    <cfRule type="containsText" dxfId="2" priority="2" operator="containsText" text="Medium">
      <formula>NOT(ISERROR(SEARCH("Medium",H2)))</formula>
    </cfRule>
    <cfRule type="containsText" dxfId="1" priority="3" operator="containsText" text="Low">
      <formula>NOT(ISERROR(SEARCH("Low",H2)))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Mehak Zahra</dc:creator>
  <cp:lastModifiedBy>Mehak Zahra</cp:lastModifiedBy>
  <dcterms:created xsi:type="dcterms:W3CDTF">2025-12-29T02:26:05Z</dcterms:created>
  <dcterms:modified xsi:type="dcterms:W3CDTF">2025-12-29T14:40:17Z</dcterms:modified>
</cp:coreProperties>
</file>